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ypK5kus9gqFB28V0hHva54jXwh844LXRxyHJfXgJiM="/>
    </ext>
  </extLst>
</workbook>
</file>

<file path=xl/sharedStrings.xml><?xml version="1.0" encoding="utf-8"?>
<sst xmlns="http://schemas.openxmlformats.org/spreadsheetml/2006/main" count="511" uniqueCount="24">
  <si>
    <t>Category</t>
  </si>
  <si>
    <t># Children</t>
  </si>
  <si>
    <t>Age</t>
  </si>
  <si>
    <t>IEP</t>
  </si>
  <si>
    <t># Meeting / Exceeding</t>
  </si>
  <si>
    <t>% Meeting / Exceeding</t>
  </si>
  <si>
    <t>Time Period</t>
  </si>
  <si>
    <t>Cognitive</t>
  </si>
  <si>
    <t>0-1</t>
  </si>
  <si>
    <t>N/A</t>
  </si>
  <si>
    <t>Fall 2024/2025</t>
  </si>
  <si>
    <t>1-2</t>
  </si>
  <si>
    <t>2-3</t>
  </si>
  <si>
    <t>3-4</t>
  </si>
  <si>
    <t>No</t>
  </si>
  <si>
    <t>Yes</t>
  </si>
  <si>
    <t>4-5</t>
  </si>
  <si>
    <t>Language</t>
  </si>
  <si>
    <t>Literacy</t>
  </si>
  <si>
    <t>Mathematics</t>
  </si>
  <si>
    <t>Physical</t>
  </si>
  <si>
    <t>Social-Emotional</t>
  </si>
  <si>
    <t>Winter 2024/2025</t>
  </si>
  <si>
    <t>Spring 2024/2025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</si>
</sst>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0.0"/>
    <col customWidth="1" min="3" max="3" width="8.0"/>
    <col customWidth="1" min="4" max="4" width="9.57"/>
    <col customWidth="1" min="5" max="5" width="20.43"/>
    <col customWidth="1" min="6" max="6" width="21.0"/>
    <col customWidth="1" min="7" max="7" width="16.86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 t="s">
        <v>7</v>
      </c>
      <c r="B2" s="4">
        <v>12.0</v>
      </c>
      <c r="C2" s="4" t="s">
        <v>8</v>
      </c>
      <c r="D2" s="4" t="s">
        <v>9</v>
      </c>
      <c r="E2" s="4">
        <v>12.0</v>
      </c>
      <c r="F2" s="5">
        <f t="shared" ref="F2:F127" si="1">E2/B2*100</f>
        <v>100</v>
      </c>
      <c r="G2" s="3" t="s">
        <v>10</v>
      </c>
    </row>
    <row r="3" ht="14.25" customHeight="1">
      <c r="A3" s="3" t="s">
        <v>7</v>
      </c>
      <c r="B3" s="4">
        <v>16.0</v>
      </c>
      <c r="C3" s="3" t="s">
        <v>11</v>
      </c>
      <c r="D3" s="4" t="s">
        <v>9</v>
      </c>
      <c r="E3" s="4">
        <v>14.0</v>
      </c>
      <c r="F3" s="5">
        <f t="shared" si="1"/>
        <v>87.5</v>
      </c>
      <c r="G3" s="3" t="s">
        <v>10</v>
      </c>
    </row>
    <row r="4" ht="14.25" customHeight="1">
      <c r="A4" s="3" t="s">
        <v>7</v>
      </c>
      <c r="B4" s="4">
        <v>40.0</v>
      </c>
      <c r="C4" s="3" t="s">
        <v>12</v>
      </c>
      <c r="D4" s="4" t="s">
        <v>9</v>
      </c>
      <c r="E4" s="4">
        <v>34.0</v>
      </c>
      <c r="F4" s="5">
        <f t="shared" si="1"/>
        <v>85</v>
      </c>
      <c r="G4" s="3" t="s">
        <v>10</v>
      </c>
    </row>
    <row r="5" ht="14.25" customHeight="1">
      <c r="A5" s="3" t="s">
        <v>7</v>
      </c>
      <c r="B5" s="4">
        <v>56.0</v>
      </c>
      <c r="C5" s="3" t="s">
        <v>13</v>
      </c>
      <c r="D5" s="3" t="s">
        <v>14</v>
      </c>
      <c r="E5" s="4">
        <v>44.0</v>
      </c>
      <c r="F5" s="5">
        <f t="shared" si="1"/>
        <v>78.57142857</v>
      </c>
      <c r="G5" s="3" t="s">
        <v>10</v>
      </c>
    </row>
    <row r="6" ht="14.25" customHeight="1">
      <c r="A6" s="3" t="s">
        <v>7</v>
      </c>
      <c r="B6" s="4">
        <v>16.0</v>
      </c>
      <c r="C6" s="3" t="s">
        <v>13</v>
      </c>
      <c r="D6" s="3" t="s">
        <v>15</v>
      </c>
      <c r="E6" s="4">
        <v>7.0</v>
      </c>
      <c r="F6" s="5">
        <f t="shared" si="1"/>
        <v>43.75</v>
      </c>
      <c r="G6" s="3" t="s">
        <v>10</v>
      </c>
    </row>
    <row r="7" ht="14.25" customHeight="1">
      <c r="A7" s="3" t="s">
        <v>7</v>
      </c>
      <c r="B7" s="4">
        <v>99.0</v>
      </c>
      <c r="C7" s="3" t="s">
        <v>16</v>
      </c>
      <c r="D7" s="3" t="s">
        <v>14</v>
      </c>
      <c r="E7" s="4">
        <v>72.0</v>
      </c>
      <c r="F7" s="5">
        <f t="shared" si="1"/>
        <v>72.72727273</v>
      </c>
      <c r="G7" s="3" t="s">
        <v>10</v>
      </c>
    </row>
    <row r="8" ht="14.25" customHeight="1">
      <c r="A8" s="3" t="s">
        <v>7</v>
      </c>
      <c r="B8" s="4">
        <v>21.0</v>
      </c>
      <c r="C8" s="3" t="s">
        <v>16</v>
      </c>
      <c r="D8" s="3" t="s">
        <v>15</v>
      </c>
      <c r="E8" s="4">
        <v>10.0</v>
      </c>
      <c r="F8" s="5">
        <f t="shared" si="1"/>
        <v>47.61904762</v>
      </c>
      <c r="G8" s="3" t="s">
        <v>10</v>
      </c>
    </row>
    <row r="9" ht="14.25" customHeight="1">
      <c r="A9" s="3" t="s">
        <v>17</v>
      </c>
      <c r="B9" s="4">
        <v>12.0</v>
      </c>
      <c r="C9" s="3" t="s">
        <v>8</v>
      </c>
      <c r="D9" s="4" t="s">
        <v>9</v>
      </c>
      <c r="E9" s="4">
        <v>12.0</v>
      </c>
      <c r="F9" s="5">
        <f t="shared" si="1"/>
        <v>100</v>
      </c>
      <c r="G9" s="3" t="s">
        <v>10</v>
      </c>
    </row>
    <row r="10" ht="14.25" customHeight="1">
      <c r="A10" s="3" t="s">
        <v>17</v>
      </c>
      <c r="B10" s="4">
        <v>16.0</v>
      </c>
      <c r="C10" s="3" t="s">
        <v>11</v>
      </c>
      <c r="D10" s="4" t="s">
        <v>9</v>
      </c>
      <c r="E10" s="4">
        <v>10.0</v>
      </c>
      <c r="F10" s="5">
        <f t="shared" si="1"/>
        <v>62.5</v>
      </c>
      <c r="G10" s="3" t="s">
        <v>10</v>
      </c>
    </row>
    <row r="11" ht="14.25" customHeight="1">
      <c r="A11" s="3" t="s">
        <v>17</v>
      </c>
      <c r="B11" s="4">
        <v>40.0</v>
      </c>
      <c r="C11" s="3" t="s">
        <v>12</v>
      </c>
      <c r="D11" s="4" t="s">
        <v>9</v>
      </c>
      <c r="E11" s="4">
        <v>32.0</v>
      </c>
      <c r="F11" s="5">
        <f t="shared" si="1"/>
        <v>80</v>
      </c>
      <c r="G11" s="3" t="s">
        <v>10</v>
      </c>
    </row>
    <row r="12" ht="14.25" customHeight="1">
      <c r="A12" s="3" t="s">
        <v>17</v>
      </c>
      <c r="B12" s="4">
        <v>56.0</v>
      </c>
      <c r="C12" s="3" t="s">
        <v>13</v>
      </c>
      <c r="D12" s="3" t="s">
        <v>14</v>
      </c>
      <c r="E12" s="3">
        <f>B12-18</f>
        <v>38</v>
      </c>
      <c r="F12" s="5">
        <f t="shared" si="1"/>
        <v>67.85714286</v>
      </c>
      <c r="G12" s="3" t="s">
        <v>10</v>
      </c>
    </row>
    <row r="13" ht="14.25" customHeight="1">
      <c r="A13" s="3" t="s">
        <v>17</v>
      </c>
      <c r="B13" s="4">
        <v>16.0</v>
      </c>
      <c r="C13" s="3" t="s">
        <v>13</v>
      </c>
      <c r="D13" s="3" t="s">
        <v>15</v>
      </c>
      <c r="E13" s="3">
        <f>B13-13</f>
        <v>3</v>
      </c>
      <c r="F13" s="5">
        <f t="shared" si="1"/>
        <v>18.75</v>
      </c>
      <c r="G13" s="3" t="s">
        <v>10</v>
      </c>
    </row>
    <row r="14" ht="14.25" customHeight="1">
      <c r="A14" s="3" t="s">
        <v>17</v>
      </c>
      <c r="B14" s="4">
        <v>99.0</v>
      </c>
      <c r="C14" s="3" t="s">
        <v>16</v>
      </c>
      <c r="D14" s="3" t="s">
        <v>14</v>
      </c>
      <c r="E14" s="3">
        <f>B14-33</f>
        <v>66</v>
      </c>
      <c r="F14" s="5">
        <f t="shared" si="1"/>
        <v>66.66666667</v>
      </c>
      <c r="G14" s="3" t="s">
        <v>10</v>
      </c>
    </row>
    <row r="15" ht="14.25" customHeight="1">
      <c r="A15" s="3" t="s">
        <v>17</v>
      </c>
      <c r="B15" s="4">
        <v>21.0</v>
      </c>
      <c r="C15" s="3" t="s">
        <v>16</v>
      </c>
      <c r="D15" s="3" t="s">
        <v>15</v>
      </c>
      <c r="E15" s="3">
        <f>B15-12</f>
        <v>9</v>
      </c>
      <c r="F15" s="5">
        <f t="shared" si="1"/>
        <v>42.85714286</v>
      </c>
      <c r="G15" s="3" t="s">
        <v>10</v>
      </c>
    </row>
    <row r="16" ht="14.25" customHeight="1">
      <c r="A16" s="3" t="s">
        <v>18</v>
      </c>
      <c r="B16" s="4">
        <v>12.0</v>
      </c>
      <c r="C16" s="3" t="s">
        <v>8</v>
      </c>
      <c r="D16" s="4" t="s">
        <v>9</v>
      </c>
      <c r="E16" s="4">
        <v>12.0</v>
      </c>
      <c r="F16" s="5">
        <f t="shared" si="1"/>
        <v>100</v>
      </c>
      <c r="G16" s="3" t="s">
        <v>10</v>
      </c>
    </row>
    <row r="17" ht="14.25" customHeight="1">
      <c r="A17" s="3" t="s">
        <v>18</v>
      </c>
      <c r="B17" s="4">
        <v>16.0</v>
      </c>
      <c r="C17" s="3" t="s">
        <v>11</v>
      </c>
      <c r="D17" s="4" t="s">
        <v>9</v>
      </c>
      <c r="E17" s="4">
        <v>16.0</v>
      </c>
      <c r="F17" s="5">
        <f t="shared" si="1"/>
        <v>100</v>
      </c>
      <c r="G17" s="3" t="s">
        <v>10</v>
      </c>
    </row>
    <row r="18" ht="14.25" customHeight="1">
      <c r="A18" s="3" t="s">
        <v>18</v>
      </c>
      <c r="B18" s="4">
        <v>40.0</v>
      </c>
      <c r="C18" s="3" t="s">
        <v>12</v>
      </c>
      <c r="D18" s="4" t="s">
        <v>9</v>
      </c>
      <c r="E18" s="4">
        <v>36.0</v>
      </c>
      <c r="F18" s="5">
        <f t="shared" si="1"/>
        <v>90</v>
      </c>
      <c r="G18" s="3" t="s">
        <v>10</v>
      </c>
    </row>
    <row r="19" ht="14.25" customHeight="1">
      <c r="A19" s="3" t="s">
        <v>18</v>
      </c>
      <c r="B19" s="4">
        <v>56.0</v>
      </c>
      <c r="C19" s="3" t="s">
        <v>13</v>
      </c>
      <c r="D19" s="3" t="s">
        <v>14</v>
      </c>
      <c r="E19" s="3">
        <f>B19-22</f>
        <v>34</v>
      </c>
      <c r="F19" s="5">
        <f t="shared" si="1"/>
        <v>60.71428571</v>
      </c>
      <c r="G19" s="3" t="s">
        <v>10</v>
      </c>
    </row>
    <row r="20" ht="14.25" customHeight="1">
      <c r="A20" s="3" t="s">
        <v>18</v>
      </c>
      <c r="B20" s="4">
        <v>16.0</v>
      </c>
      <c r="C20" s="3" t="s">
        <v>13</v>
      </c>
      <c r="D20" s="3" t="s">
        <v>15</v>
      </c>
      <c r="E20" s="3">
        <f>B20-13</f>
        <v>3</v>
      </c>
      <c r="F20" s="5">
        <f t="shared" si="1"/>
        <v>18.75</v>
      </c>
      <c r="G20" s="3" t="s">
        <v>10</v>
      </c>
    </row>
    <row r="21" ht="14.25" customHeight="1">
      <c r="A21" s="3" t="s">
        <v>18</v>
      </c>
      <c r="B21" s="4">
        <v>99.0</v>
      </c>
      <c r="C21" s="3" t="s">
        <v>16</v>
      </c>
      <c r="D21" s="3" t="s">
        <v>14</v>
      </c>
      <c r="E21" s="3">
        <f>B21-29</f>
        <v>70</v>
      </c>
      <c r="F21" s="5">
        <f t="shared" si="1"/>
        <v>70.70707071</v>
      </c>
      <c r="G21" s="3" t="s">
        <v>10</v>
      </c>
    </row>
    <row r="22" ht="14.25" customHeight="1">
      <c r="A22" s="3" t="s">
        <v>18</v>
      </c>
      <c r="B22" s="4">
        <v>21.0</v>
      </c>
      <c r="C22" s="3" t="s">
        <v>16</v>
      </c>
      <c r="D22" s="3" t="s">
        <v>15</v>
      </c>
      <c r="E22" s="3">
        <f>B22-9</f>
        <v>12</v>
      </c>
      <c r="F22" s="5">
        <f t="shared" si="1"/>
        <v>57.14285714</v>
      </c>
      <c r="G22" s="3" t="s">
        <v>10</v>
      </c>
    </row>
    <row r="23" ht="14.25" customHeight="1">
      <c r="A23" s="3" t="s">
        <v>19</v>
      </c>
      <c r="B23" s="4">
        <v>12.0</v>
      </c>
      <c r="C23" s="3" t="s">
        <v>8</v>
      </c>
      <c r="D23" s="4" t="s">
        <v>9</v>
      </c>
      <c r="E23" s="4">
        <v>12.0</v>
      </c>
      <c r="F23" s="5">
        <f t="shared" si="1"/>
        <v>100</v>
      </c>
      <c r="G23" s="3" t="s">
        <v>10</v>
      </c>
    </row>
    <row r="24" ht="14.25" customHeight="1">
      <c r="A24" s="3" t="s">
        <v>19</v>
      </c>
      <c r="B24" s="4">
        <v>16.0</v>
      </c>
      <c r="C24" s="3" t="s">
        <v>11</v>
      </c>
      <c r="D24" s="4" t="s">
        <v>9</v>
      </c>
      <c r="E24" s="4">
        <v>12.0</v>
      </c>
      <c r="F24" s="5">
        <f t="shared" si="1"/>
        <v>75</v>
      </c>
      <c r="G24" s="3" t="s">
        <v>10</v>
      </c>
    </row>
    <row r="25" ht="14.25" customHeight="1">
      <c r="A25" s="3" t="s">
        <v>19</v>
      </c>
      <c r="B25" s="4">
        <v>40.0</v>
      </c>
      <c r="C25" s="3" t="s">
        <v>12</v>
      </c>
      <c r="D25" s="4" t="s">
        <v>9</v>
      </c>
      <c r="E25" s="4">
        <v>38.0</v>
      </c>
      <c r="F25" s="5">
        <f t="shared" si="1"/>
        <v>95</v>
      </c>
      <c r="G25" s="3" t="s">
        <v>10</v>
      </c>
    </row>
    <row r="26" ht="14.25" customHeight="1">
      <c r="A26" s="3" t="s">
        <v>19</v>
      </c>
      <c r="B26" s="4">
        <v>54.0</v>
      </c>
      <c r="C26" s="3" t="s">
        <v>13</v>
      </c>
      <c r="D26" s="3" t="s">
        <v>14</v>
      </c>
      <c r="E26" s="4">
        <v>32.0</v>
      </c>
      <c r="F26" s="5">
        <f t="shared" si="1"/>
        <v>59.25925926</v>
      </c>
      <c r="G26" s="3" t="s">
        <v>10</v>
      </c>
    </row>
    <row r="27" ht="14.25" customHeight="1">
      <c r="A27" s="3" t="s">
        <v>19</v>
      </c>
      <c r="B27" s="4">
        <v>15.0</v>
      </c>
      <c r="C27" s="3" t="s">
        <v>13</v>
      </c>
      <c r="D27" s="3" t="s">
        <v>15</v>
      </c>
      <c r="E27" s="4">
        <v>2.0</v>
      </c>
      <c r="F27" s="5">
        <f t="shared" si="1"/>
        <v>13.33333333</v>
      </c>
      <c r="G27" s="3" t="s">
        <v>10</v>
      </c>
    </row>
    <row r="28" ht="14.25" customHeight="1">
      <c r="A28" s="3" t="s">
        <v>19</v>
      </c>
      <c r="B28" s="4">
        <v>99.0</v>
      </c>
      <c r="C28" s="3" t="s">
        <v>16</v>
      </c>
      <c r="D28" s="3" t="s">
        <v>14</v>
      </c>
      <c r="E28" s="4">
        <v>70.0</v>
      </c>
      <c r="F28" s="5">
        <f t="shared" si="1"/>
        <v>70.70707071</v>
      </c>
      <c r="G28" s="3" t="s">
        <v>10</v>
      </c>
    </row>
    <row r="29" ht="14.25" customHeight="1">
      <c r="A29" s="3" t="s">
        <v>19</v>
      </c>
      <c r="B29" s="4">
        <v>21.0</v>
      </c>
      <c r="C29" s="3" t="s">
        <v>16</v>
      </c>
      <c r="D29" s="3" t="s">
        <v>15</v>
      </c>
      <c r="E29" s="4">
        <v>12.0</v>
      </c>
      <c r="F29" s="5">
        <f t="shared" si="1"/>
        <v>57.14285714</v>
      </c>
      <c r="G29" s="3" t="s">
        <v>10</v>
      </c>
    </row>
    <row r="30" ht="14.25" customHeight="1">
      <c r="A30" s="3" t="s">
        <v>20</v>
      </c>
      <c r="B30" s="4">
        <v>12.0</v>
      </c>
      <c r="C30" s="3" t="s">
        <v>8</v>
      </c>
      <c r="D30" s="4" t="s">
        <v>9</v>
      </c>
      <c r="E30" s="4">
        <v>12.0</v>
      </c>
      <c r="F30" s="5">
        <f t="shared" si="1"/>
        <v>100</v>
      </c>
      <c r="G30" s="3" t="s">
        <v>10</v>
      </c>
    </row>
    <row r="31" ht="14.25" customHeight="1">
      <c r="A31" s="3" t="s">
        <v>20</v>
      </c>
      <c r="B31" s="4">
        <v>16.0</v>
      </c>
      <c r="C31" s="3" t="s">
        <v>11</v>
      </c>
      <c r="D31" s="4" t="s">
        <v>9</v>
      </c>
      <c r="E31" s="4">
        <v>14.0</v>
      </c>
      <c r="F31" s="5">
        <f t="shared" si="1"/>
        <v>87.5</v>
      </c>
      <c r="G31" s="3" t="s">
        <v>10</v>
      </c>
    </row>
    <row r="32" ht="14.25" customHeight="1">
      <c r="A32" s="3" t="s">
        <v>20</v>
      </c>
      <c r="B32" s="4">
        <v>40.0</v>
      </c>
      <c r="C32" s="3" t="s">
        <v>12</v>
      </c>
      <c r="D32" s="4" t="s">
        <v>9</v>
      </c>
      <c r="E32" s="4">
        <v>38.0</v>
      </c>
      <c r="F32" s="5">
        <f t="shared" si="1"/>
        <v>95</v>
      </c>
      <c r="G32" s="3" t="s">
        <v>10</v>
      </c>
    </row>
    <row r="33" ht="14.25" customHeight="1">
      <c r="A33" s="3" t="s">
        <v>20</v>
      </c>
      <c r="B33" s="4">
        <v>56.0</v>
      </c>
      <c r="C33" s="3" t="s">
        <v>13</v>
      </c>
      <c r="D33" s="3" t="s">
        <v>14</v>
      </c>
      <c r="E33" s="4">
        <v>52.0</v>
      </c>
      <c r="F33" s="5">
        <f t="shared" si="1"/>
        <v>92.85714286</v>
      </c>
      <c r="G33" s="3" t="s">
        <v>10</v>
      </c>
    </row>
    <row r="34" ht="14.25" customHeight="1">
      <c r="A34" s="3" t="s">
        <v>20</v>
      </c>
      <c r="B34" s="4">
        <v>16.0</v>
      </c>
      <c r="C34" s="3" t="s">
        <v>13</v>
      </c>
      <c r="D34" s="3" t="s">
        <v>15</v>
      </c>
      <c r="E34" s="4">
        <v>13.0</v>
      </c>
      <c r="F34" s="5">
        <f t="shared" si="1"/>
        <v>81.25</v>
      </c>
      <c r="G34" s="3" t="s">
        <v>10</v>
      </c>
    </row>
    <row r="35" ht="14.25" customHeight="1">
      <c r="A35" s="3" t="s">
        <v>20</v>
      </c>
      <c r="B35" s="4">
        <v>100.0</v>
      </c>
      <c r="C35" s="3" t="s">
        <v>16</v>
      </c>
      <c r="D35" s="3" t="s">
        <v>14</v>
      </c>
      <c r="E35" s="4">
        <v>86.0</v>
      </c>
      <c r="F35" s="5">
        <f t="shared" si="1"/>
        <v>86</v>
      </c>
      <c r="G35" s="3" t="s">
        <v>10</v>
      </c>
    </row>
    <row r="36" ht="14.25" customHeight="1">
      <c r="A36" s="3" t="s">
        <v>20</v>
      </c>
      <c r="B36" s="4">
        <v>22.0</v>
      </c>
      <c r="C36" s="3" t="s">
        <v>16</v>
      </c>
      <c r="D36" s="3" t="s">
        <v>15</v>
      </c>
      <c r="E36" s="4">
        <v>14.0</v>
      </c>
      <c r="F36" s="5">
        <f t="shared" si="1"/>
        <v>63.63636364</v>
      </c>
      <c r="G36" s="3" t="s">
        <v>10</v>
      </c>
    </row>
    <row r="37" ht="14.25" customHeight="1">
      <c r="A37" s="3" t="s">
        <v>21</v>
      </c>
      <c r="B37" s="4">
        <v>12.0</v>
      </c>
      <c r="C37" s="3" t="s">
        <v>8</v>
      </c>
      <c r="D37" s="4" t="s">
        <v>9</v>
      </c>
      <c r="E37" s="4">
        <v>12.0</v>
      </c>
      <c r="F37" s="5">
        <f t="shared" si="1"/>
        <v>100</v>
      </c>
      <c r="G37" s="3" t="s">
        <v>10</v>
      </c>
    </row>
    <row r="38" ht="14.25" customHeight="1">
      <c r="A38" s="3" t="s">
        <v>21</v>
      </c>
      <c r="B38" s="4">
        <v>16.0</v>
      </c>
      <c r="C38" s="3" t="s">
        <v>11</v>
      </c>
      <c r="D38" s="4" t="s">
        <v>9</v>
      </c>
      <c r="E38" s="4">
        <v>12.0</v>
      </c>
      <c r="F38" s="5">
        <f t="shared" si="1"/>
        <v>75</v>
      </c>
      <c r="G38" s="3" t="s">
        <v>10</v>
      </c>
    </row>
    <row r="39" ht="14.25" customHeight="1">
      <c r="A39" s="3" t="s">
        <v>21</v>
      </c>
      <c r="B39" s="4">
        <v>40.0</v>
      </c>
      <c r="C39" s="3" t="s">
        <v>12</v>
      </c>
      <c r="D39" s="4" t="s">
        <v>9</v>
      </c>
      <c r="E39" s="4">
        <v>34.0</v>
      </c>
      <c r="F39" s="5">
        <f t="shared" si="1"/>
        <v>85</v>
      </c>
      <c r="G39" s="3" t="s">
        <v>10</v>
      </c>
    </row>
    <row r="40" ht="14.25" customHeight="1">
      <c r="A40" s="3" t="s">
        <v>21</v>
      </c>
      <c r="B40" s="4">
        <v>56.0</v>
      </c>
      <c r="C40" s="3" t="s">
        <v>13</v>
      </c>
      <c r="D40" s="3" t="s">
        <v>14</v>
      </c>
      <c r="E40" s="4">
        <v>42.0</v>
      </c>
      <c r="F40" s="5">
        <f t="shared" si="1"/>
        <v>75</v>
      </c>
      <c r="G40" s="3" t="s">
        <v>10</v>
      </c>
    </row>
    <row r="41" ht="14.25" customHeight="1">
      <c r="A41" s="3" t="s">
        <v>21</v>
      </c>
      <c r="B41" s="4">
        <v>16.0</v>
      </c>
      <c r="C41" s="3" t="s">
        <v>13</v>
      </c>
      <c r="D41" s="3" t="s">
        <v>15</v>
      </c>
      <c r="E41" s="4">
        <v>5.0</v>
      </c>
      <c r="F41" s="5">
        <f t="shared" si="1"/>
        <v>31.25</v>
      </c>
      <c r="G41" s="3" t="s">
        <v>10</v>
      </c>
    </row>
    <row r="42" ht="14.25" customHeight="1">
      <c r="A42" s="3" t="s">
        <v>21</v>
      </c>
      <c r="B42" s="4">
        <v>99.0</v>
      </c>
      <c r="C42" s="3" t="s">
        <v>16</v>
      </c>
      <c r="D42" s="3" t="s">
        <v>14</v>
      </c>
      <c r="E42" s="4">
        <v>61.0</v>
      </c>
      <c r="F42" s="5">
        <f t="shared" si="1"/>
        <v>61.61616162</v>
      </c>
      <c r="G42" s="3" t="s">
        <v>10</v>
      </c>
    </row>
    <row r="43" ht="14.25" customHeight="1">
      <c r="A43" s="3" t="s">
        <v>21</v>
      </c>
      <c r="B43" s="4">
        <v>21.0</v>
      </c>
      <c r="C43" s="3" t="s">
        <v>16</v>
      </c>
      <c r="D43" s="3" t="s">
        <v>15</v>
      </c>
      <c r="E43" s="4">
        <v>8.0</v>
      </c>
      <c r="F43" s="5">
        <f t="shared" si="1"/>
        <v>38.0952381</v>
      </c>
      <c r="G43" s="3" t="s">
        <v>10</v>
      </c>
    </row>
    <row r="44" ht="14.25" customHeight="1">
      <c r="A44" s="3" t="s">
        <v>7</v>
      </c>
      <c r="B44" s="4">
        <v>12.0</v>
      </c>
      <c r="C44" s="3" t="s">
        <v>8</v>
      </c>
      <c r="D44" s="4" t="s">
        <v>9</v>
      </c>
      <c r="E44" s="4">
        <v>12.0</v>
      </c>
      <c r="F44" s="5">
        <f t="shared" si="1"/>
        <v>100</v>
      </c>
      <c r="G44" s="3" t="s">
        <v>22</v>
      </c>
    </row>
    <row r="45" ht="14.25" customHeight="1">
      <c r="A45" s="3" t="s">
        <v>7</v>
      </c>
      <c r="B45" s="4">
        <v>16.0</v>
      </c>
      <c r="C45" s="3" t="s">
        <v>11</v>
      </c>
      <c r="D45" s="4" t="s">
        <v>9</v>
      </c>
      <c r="E45" s="4">
        <v>16.0</v>
      </c>
      <c r="F45" s="5">
        <f t="shared" si="1"/>
        <v>100</v>
      </c>
      <c r="G45" s="3" t="s">
        <v>22</v>
      </c>
    </row>
    <row r="46" ht="14.25" customHeight="1">
      <c r="A46" s="3" t="s">
        <v>7</v>
      </c>
      <c r="B46" s="4">
        <v>40.0</v>
      </c>
      <c r="C46" s="3" t="s">
        <v>12</v>
      </c>
      <c r="D46" s="4" t="s">
        <v>9</v>
      </c>
      <c r="E46" s="4">
        <v>38.0</v>
      </c>
      <c r="F46" s="5">
        <f t="shared" si="1"/>
        <v>95</v>
      </c>
      <c r="G46" s="3" t="s">
        <v>22</v>
      </c>
    </row>
    <row r="47" ht="14.25" customHeight="1">
      <c r="A47" s="3" t="s">
        <v>7</v>
      </c>
      <c r="B47" s="4">
        <v>56.0</v>
      </c>
      <c r="C47" s="3" t="s">
        <v>13</v>
      </c>
      <c r="D47" s="3" t="s">
        <v>14</v>
      </c>
      <c r="E47" s="3">
        <f>56-11</f>
        <v>45</v>
      </c>
      <c r="F47" s="5">
        <f t="shared" si="1"/>
        <v>80.35714286</v>
      </c>
      <c r="G47" s="3" t="s">
        <v>22</v>
      </c>
    </row>
    <row r="48" ht="14.25" customHeight="1">
      <c r="A48" s="3" t="s">
        <v>7</v>
      </c>
      <c r="B48" s="4">
        <v>16.0</v>
      </c>
      <c r="C48" s="3" t="s">
        <v>13</v>
      </c>
      <c r="D48" s="3" t="s">
        <v>15</v>
      </c>
      <c r="E48" s="3">
        <f>B48-8</f>
        <v>8</v>
      </c>
      <c r="F48" s="5">
        <f t="shared" si="1"/>
        <v>50</v>
      </c>
      <c r="G48" s="3" t="s">
        <v>22</v>
      </c>
    </row>
    <row r="49" ht="14.25" customHeight="1">
      <c r="A49" s="3" t="s">
        <v>7</v>
      </c>
      <c r="B49" s="4">
        <v>99.0</v>
      </c>
      <c r="C49" s="3" t="s">
        <v>16</v>
      </c>
      <c r="D49" s="3" t="s">
        <v>14</v>
      </c>
      <c r="E49" s="3">
        <f>B49-12</f>
        <v>87</v>
      </c>
      <c r="F49" s="5">
        <f t="shared" si="1"/>
        <v>87.87878788</v>
      </c>
      <c r="G49" s="3" t="s">
        <v>22</v>
      </c>
    </row>
    <row r="50" ht="14.25" customHeight="1">
      <c r="A50" s="3" t="s">
        <v>7</v>
      </c>
      <c r="B50" s="4">
        <v>21.0</v>
      </c>
      <c r="C50" s="3" t="s">
        <v>16</v>
      </c>
      <c r="D50" s="3" t="s">
        <v>15</v>
      </c>
      <c r="E50" s="3">
        <f>B50-6</f>
        <v>15</v>
      </c>
      <c r="F50" s="5">
        <f t="shared" si="1"/>
        <v>71.42857143</v>
      </c>
      <c r="G50" s="3" t="s">
        <v>22</v>
      </c>
    </row>
    <row r="51" ht="14.25" customHeight="1">
      <c r="A51" s="3" t="s">
        <v>17</v>
      </c>
      <c r="B51" s="4">
        <v>12.0</v>
      </c>
      <c r="C51" s="3" t="s">
        <v>8</v>
      </c>
      <c r="D51" s="4" t="s">
        <v>9</v>
      </c>
      <c r="E51" s="4">
        <v>12.0</v>
      </c>
      <c r="F51" s="5">
        <f t="shared" si="1"/>
        <v>100</v>
      </c>
      <c r="G51" s="3" t="s">
        <v>22</v>
      </c>
    </row>
    <row r="52" ht="14.25" customHeight="1">
      <c r="A52" s="3" t="s">
        <v>17</v>
      </c>
      <c r="B52" s="4">
        <v>16.0</v>
      </c>
      <c r="C52" s="3" t="s">
        <v>11</v>
      </c>
      <c r="D52" s="4" t="s">
        <v>9</v>
      </c>
      <c r="E52" s="4">
        <v>16.0</v>
      </c>
      <c r="F52" s="5">
        <f t="shared" si="1"/>
        <v>100</v>
      </c>
      <c r="G52" s="3" t="s">
        <v>22</v>
      </c>
    </row>
    <row r="53" ht="14.25" customHeight="1">
      <c r="A53" s="3" t="s">
        <v>17</v>
      </c>
      <c r="B53" s="4">
        <v>40.0</v>
      </c>
      <c r="C53" s="3" t="s">
        <v>12</v>
      </c>
      <c r="D53" s="4" t="s">
        <v>9</v>
      </c>
      <c r="E53" s="4">
        <v>36.0</v>
      </c>
      <c r="F53" s="5">
        <f t="shared" si="1"/>
        <v>90</v>
      </c>
      <c r="G53" s="3" t="s">
        <v>22</v>
      </c>
    </row>
    <row r="54" ht="14.25" customHeight="1">
      <c r="A54" s="3" t="s">
        <v>17</v>
      </c>
      <c r="B54" s="4">
        <v>56.0</v>
      </c>
      <c r="C54" s="3" t="s">
        <v>13</v>
      </c>
      <c r="D54" s="3" t="s">
        <v>14</v>
      </c>
      <c r="E54" s="3">
        <f>B54-13</f>
        <v>43</v>
      </c>
      <c r="F54" s="5">
        <f t="shared" si="1"/>
        <v>76.78571429</v>
      </c>
      <c r="G54" s="3" t="s">
        <v>22</v>
      </c>
    </row>
    <row r="55" ht="14.25" customHeight="1">
      <c r="A55" s="3" t="s">
        <v>17</v>
      </c>
      <c r="B55" s="4">
        <v>16.0</v>
      </c>
      <c r="C55" s="3" t="s">
        <v>13</v>
      </c>
      <c r="D55" s="3" t="s">
        <v>15</v>
      </c>
      <c r="E55" s="3">
        <f>B55-11</f>
        <v>5</v>
      </c>
      <c r="F55" s="5">
        <f t="shared" si="1"/>
        <v>31.25</v>
      </c>
      <c r="G55" s="3" t="s">
        <v>22</v>
      </c>
    </row>
    <row r="56" ht="14.25" customHeight="1">
      <c r="A56" s="3" t="s">
        <v>17</v>
      </c>
      <c r="B56" s="4">
        <v>99.0</v>
      </c>
      <c r="C56" s="3" t="s">
        <v>16</v>
      </c>
      <c r="D56" s="3" t="s">
        <v>14</v>
      </c>
      <c r="E56" s="3">
        <f>B56-17</f>
        <v>82</v>
      </c>
      <c r="F56" s="5">
        <f t="shared" si="1"/>
        <v>82.82828283</v>
      </c>
      <c r="G56" s="3" t="s">
        <v>22</v>
      </c>
    </row>
    <row r="57" ht="14.25" customHeight="1">
      <c r="A57" s="3" t="s">
        <v>17</v>
      </c>
      <c r="B57" s="4">
        <v>21.0</v>
      </c>
      <c r="C57" s="3" t="s">
        <v>16</v>
      </c>
      <c r="D57" s="3" t="s">
        <v>15</v>
      </c>
      <c r="E57" s="3">
        <f>B57-6</f>
        <v>15</v>
      </c>
      <c r="F57" s="5">
        <f t="shared" si="1"/>
        <v>71.42857143</v>
      </c>
      <c r="G57" s="3" t="s">
        <v>22</v>
      </c>
    </row>
    <row r="58" ht="14.25" customHeight="1">
      <c r="A58" s="3" t="s">
        <v>18</v>
      </c>
      <c r="B58" s="4">
        <v>12.0</v>
      </c>
      <c r="C58" s="3" t="s">
        <v>8</v>
      </c>
      <c r="D58" s="4" t="s">
        <v>9</v>
      </c>
      <c r="E58" s="4">
        <v>12.0</v>
      </c>
      <c r="F58" s="5">
        <f t="shared" si="1"/>
        <v>100</v>
      </c>
      <c r="G58" s="3" t="s">
        <v>22</v>
      </c>
    </row>
    <row r="59" ht="14.25" customHeight="1">
      <c r="A59" s="3" t="s">
        <v>18</v>
      </c>
      <c r="B59" s="4">
        <v>16.0</v>
      </c>
      <c r="C59" s="3" t="s">
        <v>11</v>
      </c>
      <c r="D59" s="4" t="s">
        <v>9</v>
      </c>
      <c r="E59" s="4">
        <v>16.0</v>
      </c>
      <c r="F59" s="5">
        <f t="shared" si="1"/>
        <v>100</v>
      </c>
      <c r="G59" s="3" t="s">
        <v>22</v>
      </c>
    </row>
    <row r="60" ht="14.25" customHeight="1">
      <c r="A60" s="3" t="s">
        <v>18</v>
      </c>
      <c r="B60" s="4">
        <v>40.0</v>
      </c>
      <c r="C60" s="3" t="s">
        <v>12</v>
      </c>
      <c r="D60" s="4" t="s">
        <v>9</v>
      </c>
      <c r="E60" s="4">
        <v>38.0</v>
      </c>
      <c r="F60" s="5">
        <f t="shared" si="1"/>
        <v>95</v>
      </c>
      <c r="G60" s="3" t="s">
        <v>22</v>
      </c>
    </row>
    <row r="61" ht="14.25" customHeight="1">
      <c r="A61" s="3" t="s">
        <v>18</v>
      </c>
      <c r="B61" s="4">
        <v>56.0</v>
      </c>
      <c r="C61" s="3" t="s">
        <v>13</v>
      </c>
      <c r="D61" s="3" t="s">
        <v>14</v>
      </c>
      <c r="E61" s="3">
        <f>B61-15</f>
        <v>41</v>
      </c>
      <c r="F61" s="5">
        <f t="shared" si="1"/>
        <v>73.21428571</v>
      </c>
      <c r="G61" s="3" t="s">
        <v>22</v>
      </c>
    </row>
    <row r="62" ht="14.25" customHeight="1">
      <c r="A62" s="3" t="s">
        <v>18</v>
      </c>
      <c r="B62" s="4">
        <v>16.0</v>
      </c>
      <c r="C62" s="3" t="s">
        <v>13</v>
      </c>
      <c r="D62" s="3" t="s">
        <v>15</v>
      </c>
      <c r="E62" s="3">
        <f>B62-11</f>
        <v>5</v>
      </c>
      <c r="F62" s="5">
        <f t="shared" si="1"/>
        <v>31.25</v>
      </c>
      <c r="G62" s="3" t="s">
        <v>22</v>
      </c>
    </row>
    <row r="63" ht="14.25" customHeight="1">
      <c r="A63" s="3" t="s">
        <v>18</v>
      </c>
      <c r="B63" s="4">
        <v>99.0</v>
      </c>
      <c r="C63" s="3" t="s">
        <v>16</v>
      </c>
      <c r="D63" s="3" t="s">
        <v>14</v>
      </c>
      <c r="E63" s="3">
        <f>B63-13</f>
        <v>86</v>
      </c>
      <c r="F63" s="5">
        <f t="shared" si="1"/>
        <v>86.86868687</v>
      </c>
      <c r="G63" s="3" t="s">
        <v>22</v>
      </c>
    </row>
    <row r="64" ht="14.25" customHeight="1">
      <c r="A64" s="3" t="s">
        <v>18</v>
      </c>
      <c r="B64" s="4">
        <v>21.0</v>
      </c>
      <c r="C64" s="3" t="s">
        <v>16</v>
      </c>
      <c r="D64" s="3" t="s">
        <v>15</v>
      </c>
      <c r="E64" s="3">
        <f>B64-8</f>
        <v>13</v>
      </c>
      <c r="F64" s="5">
        <f t="shared" si="1"/>
        <v>61.9047619</v>
      </c>
      <c r="G64" s="3" t="s">
        <v>22</v>
      </c>
    </row>
    <row r="65" ht="14.25" customHeight="1">
      <c r="A65" s="3" t="s">
        <v>19</v>
      </c>
      <c r="B65" s="4">
        <v>12.0</v>
      </c>
      <c r="C65" s="3" t="s">
        <v>8</v>
      </c>
      <c r="D65" s="4" t="s">
        <v>9</v>
      </c>
      <c r="E65" s="4">
        <v>12.0</v>
      </c>
      <c r="F65" s="5">
        <f t="shared" si="1"/>
        <v>100</v>
      </c>
      <c r="G65" s="3" t="s">
        <v>22</v>
      </c>
    </row>
    <row r="66" ht="14.25" customHeight="1">
      <c r="A66" s="3" t="s">
        <v>19</v>
      </c>
      <c r="B66" s="4">
        <v>16.0</v>
      </c>
      <c r="C66" s="3" t="s">
        <v>11</v>
      </c>
      <c r="D66" s="4" t="s">
        <v>9</v>
      </c>
      <c r="E66" s="4">
        <v>16.0</v>
      </c>
      <c r="F66" s="5">
        <f t="shared" si="1"/>
        <v>100</v>
      </c>
      <c r="G66" s="3" t="s">
        <v>22</v>
      </c>
    </row>
    <row r="67" ht="14.25" customHeight="1">
      <c r="A67" s="3" t="s">
        <v>19</v>
      </c>
      <c r="B67" s="4">
        <v>40.0</v>
      </c>
      <c r="C67" s="3" t="s">
        <v>12</v>
      </c>
      <c r="D67" s="4" t="s">
        <v>9</v>
      </c>
      <c r="E67" s="4">
        <v>38.0</v>
      </c>
      <c r="F67" s="5">
        <f t="shared" si="1"/>
        <v>95</v>
      </c>
      <c r="G67" s="3" t="s">
        <v>22</v>
      </c>
    </row>
    <row r="68" ht="14.25" customHeight="1">
      <c r="A68" s="3" t="s">
        <v>19</v>
      </c>
      <c r="B68" s="4">
        <v>54.0</v>
      </c>
      <c r="C68" s="3" t="s">
        <v>13</v>
      </c>
      <c r="D68" s="3" t="s">
        <v>14</v>
      </c>
      <c r="E68" s="4">
        <v>40.0</v>
      </c>
      <c r="F68" s="5">
        <f t="shared" si="1"/>
        <v>74.07407407</v>
      </c>
      <c r="G68" s="3" t="s">
        <v>22</v>
      </c>
    </row>
    <row r="69" ht="14.25" customHeight="1">
      <c r="A69" s="3" t="s">
        <v>19</v>
      </c>
      <c r="B69" s="4">
        <v>15.0</v>
      </c>
      <c r="C69" s="3" t="s">
        <v>13</v>
      </c>
      <c r="D69" s="3" t="s">
        <v>15</v>
      </c>
      <c r="E69" s="4">
        <v>7.0</v>
      </c>
      <c r="F69" s="5">
        <f t="shared" si="1"/>
        <v>46.66666667</v>
      </c>
      <c r="G69" s="3" t="s">
        <v>22</v>
      </c>
    </row>
    <row r="70" ht="14.25" customHeight="1">
      <c r="A70" s="3" t="s">
        <v>19</v>
      </c>
      <c r="B70" s="4">
        <v>99.0</v>
      </c>
      <c r="C70" s="3" t="s">
        <v>16</v>
      </c>
      <c r="D70" s="3" t="s">
        <v>14</v>
      </c>
      <c r="E70" s="4">
        <v>71.0</v>
      </c>
      <c r="F70" s="5">
        <f t="shared" si="1"/>
        <v>71.71717172</v>
      </c>
      <c r="G70" s="3" t="s">
        <v>22</v>
      </c>
    </row>
    <row r="71" ht="14.25" customHeight="1">
      <c r="A71" s="3" t="s">
        <v>19</v>
      </c>
      <c r="B71" s="4">
        <v>21.0</v>
      </c>
      <c r="C71" s="3" t="s">
        <v>16</v>
      </c>
      <c r="D71" s="3" t="s">
        <v>15</v>
      </c>
      <c r="E71" s="4">
        <v>8.0</v>
      </c>
      <c r="F71" s="5">
        <f t="shared" si="1"/>
        <v>38.0952381</v>
      </c>
      <c r="G71" s="3" t="s">
        <v>22</v>
      </c>
    </row>
    <row r="72" ht="14.25" customHeight="1">
      <c r="A72" s="3" t="s">
        <v>20</v>
      </c>
      <c r="B72" s="4">
        <v>12.0</v>
      </c>
      <c r="C72" s="3" t="s">
        <v>8</v>
      </c>
      <c r="D72" s="4" t="s">
        <v>9</v>
      </c>
      <c r="E72" s="4">
        <v>12.0</v>
      </c>
      <c r="F72" s="5">
        <f t="shared" si="1"/>
        <v>100</v>
      </c>
      <c r="G72" s="3" t="s">
        <v>22</v>
      </c>
    </row>
    <row r="73" ht="14.25" customHeight="1">
      <c r="A73" s="3" t="s">
        <v>20</v>
      </c>
      <c r="B73" s="4">
        <v>16.0</v>
      </c>
      <c r="C73" s="3" t="s">
        <v>11</v>
      </c>
      <c r="D73" s="4" t="s">
        <v>9</v>
      </c>
      <c r="E73" s="4">
        <v>16.0</v>
      </c>
      <c r="F73" s="5">
        <f t="shared" si="1"/>
        <v>100</v>
      </c>
      <c r="G73" s="3" t="s">
        <v>22</v>
      </c>
    </row>
    <row r="74" ht="14.25" customHeight="1">
      <c r="A74" s="3" t="s">
        <v>20</v>
      </c>
      <c r="B74" s="4">
        <v>40.0</v>
      </c>
      <c r="C74" s="3" t="s">
        <v>12</v>
      </c>
      <c r="D74" s="4" t="s">
        <v>9</v>
      </c>
      <c r="E74" s="4">
        <v>40.0</v>
      </c>
      <c r="F74" s="5">
        <f t="shared" si="1"/>
        <v>100</v>
      </c>
      <c r="G74" s="3" t="s">
        <v>22</v>
      </c>
    </row>
    <row r="75" ht="14.25" customHeight="1">
      <c r="A75" s="3" t="s">
        <v>20</v>
      </c>
      <c r="B75" s="4">
        <v>56.0</v>
      </c>
      <c r="C75" s="3" t="s">
        <v>13</v>
      </c>
      <c r="D75" s="3" t="s">
        <v>14</v>
      </c>
      <c r="E75" s="4">
        <v>53.0</v>
      </c>
      <c r="F75" s="5">
        <f t="shared" si="1"/>
        <v>94.64285714</v>
      </c>
      <c r="G75" s="3" t="s">
        <v>22</v>
      </c>
    </row>
    <row r="76" ht="14.25" customHeight="1">
      <c r="A76" s="3" t="s">
        <v>20</v>
      </c>
      <c r="B76" s="4">
        <v>16.0</v>
      </c>
      <c r="C76" s="3" t="s">
        <v>13</v>
      </c>
      <c r="D76" s="3" t="s">
        <v>15</v>
      </c>
      <c r="E76" s="4">
        <v>13.0</v>
      </c>
      <c r="F76" s="5">
        <f t="shared" si="1"/>
        <v>81.25</v>
      </c>
      <c r="G76" s="3" t="s">
        <v>22</v>
      </c>
    </row>
    <row r="77" ht="14.25" customHeight="1">
      <c r="A77" s="3" t="s">
        <v>20</v>
      </c>
      <c r="B77" s="4">
        <v>100.0</v>
      </c>
      <c r="C77" s="3" t="s">
        <v>16</v>
      </c>
      <c r="D77" s="3" t="s">
        <v>14</v>
      </c>
      <c r="E77" s="4">
        <v>91.0</v>
      </c>
      <c r="F77" s="5">
        <f t="shared" si="1"/>
        <v>91</v>
      </c>
      <c r="G77" s="3" t="s">
        <v>22</v>
      </c>
    </row>
    <row r="78" ht="14.25" customHeight="1">
      <c r="A78" s="3" t="s">
        <v>20</v>
      </c>
      <c r="B78" s="4">
        <v>22.0</v>
      </c>
      <c r="C78" s="3" t="s">
        <v>16</v>
      </c>
      <c r="D78" s="3" t="s">
        <v>15</v>
      </c>
      <c r="E78" s="4">
        <v>16.0</v>
      </c>
      <c r="F78" s="5">
        <f t="shared" si="1"/>
        <v>72.72727273</v>
      </c>
      <c r="G78" s="3" t="s">
        <v>22</v>
      </c>
    </row>
    <row r="79" ht="14.25" customHeight="1">
      <c r="A79" s="3" t="s">
        <v>21</v>
      </c>
      <c r="B79" s="4">
        <v>12.0</v>
      </c>
      <c r="C79" s="3" t="s">
        <v>8</v>
      </c>
      <c r="D79" s="4" t="s">
        <v>9</v>
      </c>
      <c r="E79" s="4">
        <v>12.0</v>
      </c>
      <c r="F79" s="5">
        <f t="shared" si="1"/>
        <v>100</v>
      </c>
      <c r="G79" s="3" t="s">
        <v>22</v>
      </c>
    </row>
    <row r="80" ht="14.25" customHeight="1">
      <c r="A80" s="3" t="s">
        <v>21</v>
      </c>
      <c r="B80" s="4">
        <v>16.0</v>
      </c>
      <c r="C80" s="3" t="s">
        <v>11</v>
      </c>
      <c r="D80" s="4" t="s">
        <v>9</v>
      </c>
      <c r="E80" s="4">
        <v>16.0</v>
      </c>
      <c r="F80" s="5">
        <f t="shared" si="1"/>
        <v>100</v>
      </c>
      <c r="G80" s="3" t="s">
        <v>22</v>
      </c>
    </row>
    <row r="81" ht="14.25" customHeight="1">
      <c r="A81" s="3" t="s">
        <v>21</v>
      </c>
      <c r="B81" s="4">
        <v>40.0</v>
      </c>
      <c r="C81" s="3" t="s">
        <v>12</v>
      </c>
      <c r="D81" s="4" t="s">
        <v>9</v>
      </c>
      <c r="E81" s="4">
        <v>38.0</v>
      </c>
      <c r="F81" s="5">
        <f t="shared" si="1"/>
        <v>95</v>
      </c>
      <c r="G81" s="3" t="s">
        <v>22</v>
      </c>
    </row>
    <row r="82" ht="14.25" customHeight="1">
      <c r="A82" s="3" t="s">
        <v>21</v>
      </c>
      <c r="B82" s="4">
        <v>56.0</v>
      </c>
      <c r="C82" s="3" t="s">
        <v>13</v>
      </c>
      <c r="D82" s="3" t="s">
        <v>14</v>
      </c>
      <c r="E82" s="4">
        <v>43.0</v>
      </c>
      <c r="F82" s="5">
        <f t="shared" si="1"/>
        <v>76.78571429</v>
      </c>
      <c r="G82" s="3" t="s">
        <v>22</v>
      </c>
    </row>
    <row r="83" ht="14.25" customHeight="1">
      <c r="A83" s="3" t="s">
        <v>21</v>
      </c>
      <c r="B83" s="4">
        <v>16.0</v>
      </c>
      <c r="C83" s="3" t="s">
        <v>13</v>
      </c>
      <c r="D83" s="3" t="s">
        <v>15</v>
      </c>
      <c r="E83" s="4">
        <v>5.0</v>
      </c>
      <c r="F83" s="5">
        <f t="shared" si="1"/>
        <v>31.25</v>
      </c>
      <c r="G83" s="3" t="s">
        <v>22</v>
      </c>
    </row>
    <row r="84" ht="14.25" customHeight="1">
      <c r="A84" s="3" t="s">
        <v>21</v>
      </c>
      <c r="B84" s="4">
        <v>99.0</v>
      </c>
      <c r="C84" s="3" t="s">
        <v>16</v>
      </c>
      <c r="D84" s="3" t="s">
        <v>14</v>
      </c>
      <c r="E84" s="4">
        <v>82.0</v>
      </c>
      <c r="F84" s="5">
        <f t="shared" si="1"/>
        <v>82.82828283</v>
      </c>
      <c r="G84" s="3" t="s">
        <v>22</v>
      </c>
    </row>
    <row r="85" ht="14.25" customHeight="1">
      <c r="A85" s="3" t="s">
        <v>21</v>
      </c>
      <c r="B85" s="4">
        <v>21.0</v>
      </c>
      <c r="C85" s="3" t="s">
        <v>16</v>
      </c>
      <c r="D85" s="3" t="s">
        <v>15</v>
      </c>
      <c r="E85" s="4">
        <v>12.0</v>
      </c>
      <c r="F85" s="5">
        <f t="shared" si="1"/>
        <v>57.14285714</v>
      </c>
      <c r="G85" s="3" t="s">
        <v>22</v>
      </c>
    </row>
    <row r="86" ht="14.25" customHeight="1">
      <c r="A86" s="3" t="s">
        <v>7</v>
      </c>
      <c r="B86" s="4">
        <v>12.0</v>
      </c>
      <c r="C86" s="3" t="s">
        <v>8</v>
      </c>
      <c r="D86" s="4" t="s">
        <v>9</v>
      </c>
      <c r="E86" s="4">
        <v>12.0</v>
      </c>
      <c r="F86" s="5">
        <f t="shared" si="1"/>
        <v>100</v>
      </c>
      <c r="G86" s="3" t="s">
        <v>23</v>
      </c>
    </row>
    <row r="87" ht="14.25" customHeight="1">
      <c r="A87" s="3" t="s">
        <v>7</v>
      </c>
      <c r="B87" s="4">
        <v>16.0</v>
      </c>
      <c r="C87" s="3" t="s">
        <v>11</v>
      </c>
      <c r="D87" s="4" t="s">
        <v>9</v>
      </c>
      <c r="E87" s="4">
        <v>16.0</v>
      </c>
      <c r="F87" s="5">
        <f t="shared" si="1"/>
        <v>100</v>
      </c>
      <c r="G87" s="3" t="s">
        <v>23</v>
      </c>
    </row>
    <row r="88" ht="14.25" customHeight="1">
      <c r="A88" s="3" t="s">
        <v>7</v>
      </c>
      <c r="B88" s="4">
        <v>40.0</v>
      </c>
      <c r="C88" s="3" t="s">
        <v>12</v>
      </c>
      <c r="D88" s="4" t="s">
        <v>9</v>
      </c>
      <c r="E88" s="4">
        <v>40.0</v>
      </c>
      <c r="F88" s="5">
        <f t="shared" si="1"/>
        <v>100</v>
      </c>
      <c r="G88" s="3" t="s">
        <v>23</v>
      </c>
    </row>
    <row r="89" ht="14.25" customHeight="1">
      <c r="A89" s="3" t="s">
        <v>7</v>
      </c>
      <c r="B89" s="4">
        <v>56.0</v>
      </c>
      <c r="C89" s="3" t="s">
        <v>13</v>
      </c>
      <c r="D89" s="3" t="s">
        <v>14</v>
      </c>
      <c r="E89" s="3">
        <f>B89-10</f>
        <v>46</v>
      </c>
      <c r="F89" s="5">
        <f t="shared" si="1"/>
        <v>82.14285714</v>
      </c>
      <c r="G89" s="3" t="s">
        <v>23</v>
      </c>
    </row>
    <row r="90" ht="14.25" customHeight="1">
      <c r="A90" s="3" t="s">
        <v>7</v>
      </c>
      <c r="B90" s="4">
        <v>16.0</v>
      </c>
      <c r="C90" s="3" t="s">
        <v>13</v>
      </c>
      <c r="D90" s="3" t="s">
        <v>15</v>
      </c>
      <c r="E90" s="3">
        <f t="shared" ref="E90:E91" si="2">B90-9</f>
        <v>7</v>
      </c>
      <c r="F90" s="5">
        <f t="shared" si="1"/>
        <v>43.75</v>
      </c>
      <c r="G90" s="3" t="s">
        <v>23</v>
      </c>
    </row>
    <row r="91" ht="14.25" customHeight="1">
      <c r="A91" s="3" t="s">
        <v>7</v>
      </c>
      <c r="B91" s="4">
        <v>99.0</v>
      </c>
      <c r="C91" s="3" t="s">
        <v>16</v>
      </c>
      <c r="D91" s="3" t="s">
        <v>14</v>
      </c>
      <c r="E91" s="3">
        <f t="shared" si="2"/>
        <v>90</v>
      </c>
      <c r="F91" s="5">
        <f t="shared" si="1"/>
        <v>90.90909091</v>
      </c>
      <c r="G91" s="3" t="s">
        <v>23</v>
      </c>
    </row>
    <row r="92" ht="14.25" customHeight="1">
      <c r="A92" s="3" t="s">
        <v>7</v>
      </c>
      <c r="B92" s="4">
        <v>21.0</v>
      </c>
      <c r="C92" s="3" t="s">
        <v>16</v>
      </c>
      <c r="D92" s="3" t="s">
        <v>15</v>
      </c>
      <c r="E92" s="3">
        <f>B92-4</f>
        <v>17</v>
      </c>
      <c r="F92" s="5">
        <f t="shared" si="1"/>
        <v>80.95238095</v>
      </c>
      <c r="G92" s="3" t="s">
        <v>23</v>
      </c>
    </row>
    <row r="93" ht="14.25" customHeight="1">
      <c r="A93" s="3" t="s">
        <v>17</v>
      </c>
      <c r="B93" s="4">
        <v>12.0</v>
      </c>
      <c r="C93" s="3" t="s">
        <v>8</v>
      </c>
      <c r="D93" s="4" t="s">
        <v>9</v>
      </c>
      <c r="E93" s="4">
        <v>12.0</v>
      </c>
      <c r="F93" s="5">
        <f t="shared" si="1"/>
        <v>100</v>
      </c>
      <c r="G93" s="3" t="s">
        <v>23</v>
      </c>
    </row>
    <row r="94" ht="14.25" customHeight="1">
      <c r="A94" s="3" t="s">
        <v>17</v>
      </c>
      <c r="B94" s="4">
        <v>16.0</v>
      </c>
      <c r="C94" s="3" t="s">
        <v>11</v>
      </c>
      <c r="D94" s="4" t="s">
        <v>9</v>
      </c>
      <c r="E94" s="4">
        <v>14.0</v>
      </c>
      <c r="F94" s="5">
        <f t="shared" si="1"/>
        <v>87.5</v>
      </c>
      <c r="G94" s="3" t="s">
        <v>23</v>
      </c>
    </row>
    <row r="95" ht="14.25" customHeight="1">
      <c r="A95" s="3" t="s">
        <v>17</v>
      </c>
      <c r="B95" s="4">
        <v>40.0</v>
      </c>
      <c r="C95" s="3" t="s">
        <v>12</v>
      </c>
      <c r="D95" s="4" t="s">
        <v>9</v>
      </c>
      <c r="E95" s="4">
        <v>38.0</v>
      </c>
      <c r="F95" s="5">
        <f t="shared" si="1"/>
        <v>95</v>
      </c>
      <c r="G95" s="3" t="s">
        <v>23</v>
      </c>
    </row>
    <row r="96" ht="14.25" customHeight="1">
      <c r="A96" s="3" t="s">
        <v>17</v>
      </c>
      <c r="B96" s="4">
        <v>56.0</v>
      </c>
      <c r="C96" s="3" t="s">
        <v>13</v>
      </c>
      <c r="D96" s="3" t="s">
        <v>14</v>
      </c>
      <c r="E96" s="3">
        <f>B96-11</f>
        <v>45</v>
      </c>
      <c r="F96" s="5">
        <f t="shared" si="1"/>
        <v>80.35714286</v>
      </c>
      <c r="G96" s="3" t="s">
        <v>23</v>
      </c>
    </row>
    <row r="97" ht="14.25" customHeight="1">
      <c r="A97" s="3" t="s">
        <v>17</v>
      </c>
      <c r="B97" s="4">
        <v>16.0</v>
      </c>
      <c r="C97" s="3" t="s">
        <v>13</v>
      </c>
      <c r="D97" s="3" t="s">
        <v>15</v>
      </c>
      <c r="E97" s="3">
        <f>B97-10</f>
        <v>6</v>
      </c>
      <c r="F97" s="5">
        <f t="shared" si="1"/>
        <v>37.5</v>
      </c>
      <c r="G97" s="3" t="s">
        <v>23</v>
      </c>
    </row>
    <row r="98" ht="14.25" customHeight="1">
      <c r="A98" s="3" t="s">
        <v>17</v>
      </c>
      <c r="B98" s="4">
        <v>99.0</v>
      </c>
      <c r="C98" s="3" t="s">
        <v>16</v>
      </c>
      <c r="D98" s="3" t="s">
        <v>14</v>
      </c>
      <c r="E98" s="3">
        <f>B98-15</f>
        <v>84</v>
      </c>
      <c r="F98" s="5">
        <f t="shared" si="1"/>
        <v>84.84848485</v>
      </c>
      <c r="G98" s="3" t="s">
        <v>23</v>
      </c>
    </row>
    <row r="99" ht="14.25" customHeight="1">
      <c r="A99" s="3" t="s">
        <v>17</v>
      </c>
      <c r="B99" s="4">
        <v>21.0</v>
      </c>
      <c r="C99" s="3" t="s">
        <v>16</v>
      </c>
      <c r="D99" s="3" t="s">
        <v>15</v>
      </c>
      <c r="E99" s="3">
        <f>B99-6</f>
        <v>15</v>
      </c>
      <c r="F99" s="5">
        <f t="shared" si="1"/>
        <v>71.42857143</v>
      </c>
      <c r="G99" s="3" t="s">
        <v>23</v>
      </c>
    </row>
    <row r="100" ht="14.25" customHeight="1">
      <c r="A100" s="3" t="s">
        <v>18</v>
      </c>
      <c r="B100" s="4">
        <v>12.0</v>
      </c>
      <c r="C100" s="3" t="s">
        <v>8</v>
      </c>
      <c r="D100" s="4" t="s">
        <v>9</v>
      </c>
      <c r="E100" s="4">
        <v>12.0</v>
      </c>
      <c r="F100" s="5">
        <f t="shared" si="1"/>
        <v>100</v>
      </c>
      <c r="G100" s="3" t="s">
        <v>23</v>
      </c>
    </row>
    <row r="101" ht="14.25" customHeight="1">
      <c r="A101" s="3" t="s">
        <v>18</v>
      </c>
      <c r="B101" s="4">
        <v>16.0</v>
      </c>
      <c r="C101" s="3" t="s">
        <v>11</v>
      </c>
      <c r="D101" s="4" t="s">
        <v>9</v>
      </c>
      <c r="E101" s="4">
        <v>16.0</v>
      </c>
      <c r="F101" s="5">
        <f t="shared" si="1"/>
        <v>100</v>
      </c>
      <c r="G101" s="3" t="s">
        <v>23</v>
      </c>
    </row>
    <row r="102" ht="14.25" customHeight="1">
      <c r="A102" s="3" t="s">
        <v>18</v>
      </c>
      <c r="B102" s="4">
        <v>40.0</v>
      </c>
      <c r="C102" s="3" t="s">
        <v>12</v>
      </c>
      <c r="D102" s="4" t="s">
        <v>9</v>
      </c>
      <c r="E102" s="4">
        <v>40.0</v>
      </c>
      <c r="F102" s="5">
        <f t="shared" si="1"/>
        <v>100</v>
      </c>
      <c r="G102" s="3" t="s">
        <v>23</v>
      </c>
    </row>
    <row r="103" ht="14.25" customHeight="1">
      <c r="A103" s="3" t="s">
        <v>18</v>
      </c>
      <c r="B103" s="4">
        <v>56.0</v>
      </c>
      <c r="C103" s="3" t="s">
        <v>13</v>
      </c>
      <c r="D103" s="3" t="s">
        <v>14</v>
      </c>
      <c r="E103" s="3">
        <f t="shared" ref="E103:E104" si="3">B103-10</f>
        <v>46</v>
      </c>
      <c r="F103" s="5">
        <f t="shared" si="1"/>
        <v>82.14285714</v>
      </c>
      <c r="G103" s="3" t="s">
        <v>23</v>
      </c>
    </row>
    <row r="104" ht="14.25" customHeight="1">
      <c r="A104" s="3" t="s">
        <v>18</v>
      </c>
      <c r="B104" s="4">
        <v>16.0</v>
      </c>
      <c r="C104" s="3" t="s">
        <v>13</v>
      </c>
      <c r="D104" s="3" t="s">
        <v>15</v>
      </c>
      <c r="E104" s="3">
        <f t="shared" si="3"/>
        <v>6</v>
      </c>
      <c r="F104" s="5">
        <f t="shared" si="1"/>
        <v>37.5</v>
      </c>
      <c r="G104" s="3" t="s">
        <v>23</v>
      </c>
    </row>
    <row r="105" ht="14.25" customHeight="1">
      <c r="A105" s="3" t="s">
        <v>18</v>
      </c>
      <c r="B105" s="4">
        <v>99.0</v>
      </c>
      <c r="C105" s="3" t="s">
        <v>16</v>
      </c>
      <c r="D105" s="3" t="s">
        <v>14</v>
      </c>
      <c r="E105" s="4">
        <v>91.0</v>
      </c>
      <c r="F105" s="5">
        <f t="shared" si="1"/>
        <v>91.91919192</v>
      </c>
      <c r="G105" s="3" t="s">
        <v>23</v>
      </c>
    </row>
    <row r="106" ht="14.25" customHeight="1">
      <c r="A106" s="3" t="s">
        <v>18</v>
      </c>
      <c r="B106" s="4">
        <v>21.0</v>
      </c>
      <c r="C106" s="3" t="s">
        <v>16</v>
      </c>
      <c r="D106" s="3" t="s">
        <v>15</v>
      </c>
      <c r="E106" s="4">
        <v>16.0</v>
      </c>
      <c r="F106" s="5">
        <f t="shared" si="1"/>
        <v>76.19047619</v>
      </c>
      <c r="G106" s="3" t="s">
        <v>23</v>
      </c>
    </row>
    <row r="107" ht="14.25" customHeight="1">
      <c r="A107" s="3" t="s">
        <v>19</v>
      </c>
      <c r="B107" s="4">
        <v>12.0</v>
      </c>
      <c r="C107" s="3" t="s">
        <v>8</v>
      </c>
      <c r="D107" s="4" t="s">
        <v>9</v>
      </c>
      <c r="E107" s="4">
        <v>12.0</v>
      </c>
      <c r="F107" s="5">
        <f t="shared" si="1"/>
        <v>100</v>
      </c>
      <c r="G107" s="3" t="s">
        <v>23</v>
      </c>
    </row>
    <row r="108" ht="14.25" customHeight="1">
      <c r="A108" s="3" t="s">
        <v>19</v>
      </c>
      <c r="B108" s="4">
        <v>16.0</v>
      </c>
      <c r="C108" s="3" t="s">
        <v>11</v>
      </c>
      <c r="D108" s="4" t="s">
        <v>9</v>
      </c>
      <c r="E108" s="4">
        <v>16.0</v>
      </c>
      <c r="F108" s="5">
        <f t="shared" si="1"/>
        <v>100</v>
      </c>
      <c r="G108" s="3" t="s">
        <v>23</v>
      </c>
    </row>
    <row r="109" ht="14.25" customHeight="1">
      <c r="A109" s="3" t="s">
        <v>19</v>
      </c>
      <c r="B109" s="4">
        <v>40.0</v>
      </c>
      <c r="C109" s="3" t="s">
        <v>12</v>
      </c>
      <c r="D109" s="4" t="s">
        <v>9</v>
      </c>
      <c r="E109" s="4">
        <v>40.0</v>
      </c>
      <c r="F109" s="5">
        <f t="shared" si="1"/>
        <v>100</v>
      </c>
      <c r="G109" s="3" t="s">
        <v>23</v>
      </c>
    </row>
    <row r="110" ht="14.25" customHeight="1">
      <c r="A110" s="3" t="s">
        <v>19</v>
      </c>
      <c r="B110" s="4">
        <v>54.0</v>
      </c>
      <c r="C110" s="3" t="s">
        <v>13</v>
      </c>
      <c r="D110" s="3" t="s">
        <v>14</v>
      </c>
      <c r="E110" s="4">
        <v>44.0</v>
      </c>
      <c r="F110" s="5">
        <f t="shared" si="1"/>
        <v>81.48148148</v>
      </c>
      <c r="G110" s="3" t="s">
        <v>23</v>
      </c>
    </row>
    <row r="111" ht="14.25" customHeight="1">
      <c r="A111" s="3" t="s">
        <v>19</v>
      </c>
      <c r="B111" s="4">
        <v>15.0</v>
      </c>
      <c r="C111" s="3" t="s">
        <v>13</v>
      </c>
      <c r="D111" s="3" t="s">
        <v>15</v>
      </c>
      <c r="E111" s="4">
        <v>8.0</v>
      </c>
      <c r="F111" s="5">
        <f t="shared" si="1"/>
        <v>53.33333333</v>
      </c>
      <c r="G111" s="3" t="s">
        <v>23</v>
      </c>
    </row>
    <row r="112" ht="14.25" customHeight="1">
      <c r="A112" s="3" t="s">
        <v>19</v>
      </c>
      <c r="B112" s="4">
        <v>99.0</v>
      </c>
      <c r="C112" s="3" t="s">
        <v>16</v>
      </c>
      <c r="D112" s="3" t="s">
        <v>14</v>
      </c>
      <c r="E112" s="4">
        <v>85.0</v>
      </c>
      <c r="F112" s="5">
        <f t="shared" si="1"/>
        <v>85.85858586</v>
      </c>
      <c r="G112" s="3" t="s">
        <v>23</v>
      </c>
    </row>
    <row r="113" ht="14.25" customHeight="1">
      <c r="A113" s="3" t="s">
        <v>19</v>
      </c>
      <c r="B113" s="4">
        <v>21.0</v>
      </c>
      <c r="C113" s="3" t="s">
        <v>16</v>
      </c>
      <c r="D113" s="3" t="s">
        <v>15</v>
      </c>
      <c r="E113" s="4">
        <v>15.0</v>
      </c>
      <c r="F113" s="5">
        <f t="shared" si="1"/>
        <v>71.42857143</v>
      </c>
      <c r="G113" s="3" t="s">
        <v>23</v>
      </c>
    </row>
    <row r="114" ht="14.25" customHeight="1">
      <c r="A114" s="3" t="s">
        <v>20</v>
      </c>
      <c r="B114" s="4">
        <v>12.0</v>
      </c>
      <c r="C114" s="3" t="s">
        <v>8</v>
      </c>
      <c r="D114" s="4" t="s">
        <v>9</v>
      </c>
      <c r="E114" s="4">
        <v>12.0</v>
      </c>
      <c r="F114" s="5">
        <f t="shared" si="1"/>
        <v>100</v>
      </c>
      <c r="G114" s="3" t="s">
        <v>23</v>
      </c>
    </row>
    <row r="115" ht="14.25" customHeight="1">
      <c r="A115" s="3" t="s">
        <v>20</v>
      </c>
      <c r="B115" s="4">
        <v>16.0</v>
      </c>
      <c r="C115" s="3" t="s">
        <v>11</v>
      </c>
      <c r="D115" s="4" t="s">
        <v>9</v>
      </c>
      <c r="E115" s="4">
        <v>16.0</v>
      </c>
      <c r="F115" s="5">
        <f t="shared" si="1"/>
        <v>100</v>
      </c>
      <c r="G115" s="3" t="s">
        <v>23</v>
      </c>
    </row>
    <row r="116" ht="14.25" customHeight="1">
      <c r="A116" s="3" t="s">
        <v>20</v>
      </c>
      <c r="B116" s="4">
        <v>40.0</v>
      </c>
      <c r="C116" s="3" t="s">
        <v>12</v>
      </c>
      <c r="D116" s="4" t="s">
        <v>9</v>
      </c>
      <c r="E116" s="4">
        <v>40.0</v>
      </c>
      <c r="F116" s="5">
        <f t="shared" si="1"/>
        <v>100</v>
      </c>
      <c r="G116" s="3" t="s">
        <v>23</v>
      </c>
    </row>
    <row r="117" ht="14.25" customHeight="1">
      <c r="A117" s="3" t="s">
        <v>20</v>
      </c>
      <c r="B117" s="4">
        <v>56.0</v>
      </c>
      <c r="C117" s="3" t="s">
        <v>13</v>
      </c>
      <c r="D117" s="3" t="s">
        <v>14</v>
      </c>
      <c r="E117" s="4">
        <v>53.0</v>
      </c>
      <c r="F117" s="5">
        <f t="shared" si="1"/>
        <v>94.64285714</v>
      </c>
      <c r="G117" s="3" t="s">
        <v>23</v>
      </c>
    </row>
    <row r="118" ht="14.25" customHeight="1">
      <c r="A118" s="3" t="s">
        <v>20</v>
      </c>
      <c r="B118" s="4">
        <v>16.0</v>
      </c>
      <c r="C118" s="3" t="s">
        <v>13</v>
      </c>
      <c r="D118" s="3" t="s">
        <v>15</v>
      </c>
      <c r="E118" s="4">
        <v>13.0</v>
      </c>
      <c r="F118" s="5">
        <f t="shared" si="1"/>
        <v>81.25</v>
      </c>
      <c r="G118" s="3" t="s">
        <v>23</v>
      </c>
    </row>
    <row r="119" ht="14.25" customHeight="1">
      <c r="A119" s="3" t="s">
        <v>20</v>
      </c>
      <c r="B119" s="4">
        <v>100.0</v>
      </c>
      <c r="C119" s="3" t="s">
        <v>16</v>
      </c>
      <c r="D119" s="3" t="s">
        <v>14</v>
      </c>
      <c r="E119" s="4">
        <v>97.0</v>
      </c>
      <c r="F119" s="5">
        <f t="shared" si="1"/>
        <v>97</v>
      </c>
      <c r="G119" s="3" t="s">
        <v>23</v>
      </c>
    </row>
    <row r="120" ht="14.25" customHeight="1">
      <c r="A120" s="3" t="s">
        <v>20</v>
      </c>
      <c r="B120" s="4">
        <v>22.0</v>
      </c>
      <c r="C120" s="3" t="s">
        <v>16</v>
      </c>
      <c r="D120" s="3" t="s">
        <v>15</v>
      </c>
      <c r="E120" s="4">
        <v>21.0</v>
      </c>
      <c r="F120" s="5">
        <f t="shared" si="1"/>
        <v>95.45454545</v>
      </c>
      <c r="G120" s="3" t="s">
        <v>23</v>
      </c>
    </row>
    <row r="121" ht="14.25" customHeight="1">
      <c r="A121" s="3" t="s">
        <v>21</v>
      </c>
      <c r="B121" s="4">
        <v>12.0</v>
      </c>
      <c r="C121" s="3" t="s">
        <v>8</v>
      </c>
      <c r="D121" s="4" t="s">
        <v>9</v>
      </c>
      <c r="E121" s="4">
        <v>12.0</v>
      </c>
      <c r="F121" s="5">
        <f t="shared" si="1"/>
        <v>100</v>
      </c>
      <c r="G121" s="3" t="s">
        <v>23</v>
      </c>
    </row>
    <row r="122" ht="14.25" customHeight="1">
      <c r="A122" s="3" t="s">
        <v>21</v>
      </c>
      <c r="B122" s="4">
        <v>16.0</v>
      </c>
      <c r="C122" s="3" t="s">
        <v>11</v>
      </c>
      <c r="D122" s="4" t="s">
        <v>9</v>
      </c>
      <c r="E122" s="4">
        <v>16.0</v>
      </c>
      <c r="F122" s="5">
        <f t="shared" si="1"/>
        <v>100</v>
      </c>
      <c r="G122" s="3" t="s">
        <v>23</v>
      </c>
    </row>
    <row r="123" ht="14.25" customHeight="1">
      <c r="A123" s="3" t="s">
        <v>21</v>
      </c>
      <c r="B123" s="4">
        <v>40.0</v>
      </c>
      <c r="C123" s="3" t="s">
        <v>12</v>
      </c>
      <c r="D123" s="4" t="s">
        <v>9</v>
      </c>
      <c r="E123" s="4">
        <v>38.0</v>
      </c>
      <c r="F123" s="5">
        <f t="shared" si="1"/>
        <v>95</v>
      </c>
      <c r="G123" s="3" t="s">
        <v>23</v>
      </c>
    </row>
    <row r="124" ht="14.25" customHeight="1">
      <c r="A124" s="3" t="s">
        <v>21</v>
      </c>
      <c r="B124" s="4">
        <v>56.0</v>
      </c>
      <c r="C124" s="3" t="s">
        <v>13</v>
      </c>
      <c r="D124" s="3" t="s">
        <v>14</v>
      </c>
      <c r="E124" s="4">
        <v>46.0</v>
      </c>
      <c r="F124" s="5">
        <f t="shared" si="1"/>
        <v>82.14285714</v>
      </c>
      <c r="G124" s="3" t="s">
        <v>23</v>
      </c>
    </row>
    <row r="125" ht="14.25" customHeight="1">
      <c r="A125" s="3" t="s">
        <v>21</v>
      </c>
      <c r="B125" s="4">
        <v>16.0</v>
      </c>
      <c r="C125" s="3" t="s">
        <v>13</v>
      </c>
      <c r="D125" s="3" t="s">
        <v>15</v>
      </c>
      <c r="E125" s="4">
        <v>7.0</v>
      </c>
      <c r="F125" s="5">
        <f t="shared" si="1"/>
        <v>43.75</v>
      </c>
      <c r="G125" s="3" t="s">
        <v>23</v>
      </c>
    </row>
    <row r="126" ht="14.25" customHeight="1">
      <c r="A126" s="3" t="s">
        <v>21</v>
      </c>
      <c r="B126" s="4">
        <v>99.0</v>
      </c>
      <c r="C126" s="3" t="s">
        <v>16</v>
      </c>
      <c r="D126" s="3" t="s">
        <v>14</v>
      </c>
      <c r="E126" s="4">
        <v>82.0</v>
      </c>
      <c r="F126" s="5">
        <f t="shared" si="1"/>
        <v>82.82828283</v>
      </c>
      <c r="G126" s="3" t="s">
        <v>23</v>
      </c>
    </row>
    <row r="127" ht="14.25" customHeight="1">
      <c r="A127" s="3" t="s">
        <v>21</v>
      </c>
      <c r="B127" s="4">
        <v>21.0</v>
      </c>
      <c r="C127" s="3" t="s">
        <v>16</v>
      </c>
      <c r="D127" s="3" t="s">
        <v>15</v>
      </c>
      <c r="E127" s="4">
        <v>11.0</v>
      </c>
      <c r="F127" s="5">
        <f t="shared" si="1"/>
        <v>52.38095238</v>
      </c>
      <c r="G127" s="3" t="s">
        <v>23</v>
      </c>
    </row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2025-11-16T22:01:49Z</dcterms:created>
  <dc:creator>openpyxl</dc:creator>
</cp:coreProperties>
</file>